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595\Desktop\"/>
    </mc:Choice>
  </mc:AlternateContent>
  <xr:revisionPtr revIDLastSave="0" documentId="8_{51EAAEF3-07AE-4AFD-8342-375FB83ABC15}" xr6:coauthVersionLast="47" xr6:coauthVersionMax="47" xr10:uidLastSave="{00000000-0000-0000-0000-000000000000}"/>
  <bookViews>
    <workbookView xWindow="-108" yWindow="-108" windowWidth="23256" windowHeight="12456" xr2:uid="{C57A564D-F4C5-4237-A297-BD1C649C5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O15" i="1"/>
  <c r="J15" i="1"/>
  <c r="C4" i="1" s="1"/>
  <c r="S3" i="1" l="1"/>
  <c r="S15" i="1" s="1"/>
  <c r="C3" i="1"/>
  <c r="C7" i="1" s="1"/>
</calcChain>
</file>

<file path=xl/sharedStrings.xml><?xml version="1.0" encoding="utf-8"?>
<sst xmlns="http://schemas.openxmlformats.org/spreadsheetml/2006/main" count="67" uniqueCount="31">
  <si>
    <t>PRODUCCIÓN DYNASTINE</t>
  </si>
  <si>
    <t>SUDADERAS</t>
  </si>
  <si>
    <t>PLAYERAS</t>
  </si>
  <si>
    <t>ETIQUETAS</t>
  </si>
  <si>
    <t>TOTAL</t>
  </si>
  <si>
    <t>P UNITARIO</t>
  </si>
  <si>
    <t>PRODUCCIÓN PLAYERAS</t>
  </si>
  <si>
    <t xml:space="preserve">COLOR </t>
  </si>
  <si>
    <t>NOMBRE EN TIENDA</t>
  </si>
  <si>
    <t>kojot</t>
  </si>
  <si>
    <t>piramida</t>
  </si>
  <si>
    <t>Cantidad</t>
  </si>
  <si>
    <t>blanco</t>
  </si>
  <si>
    <t>negro</t>
  </si>
  <si>
    <t>PRODUCCIÓN SUDADERA</t>
  </si>
  <si>
    <t>trójkolorowy</t>
  </si>
  <si>
    <t>Herkules</t>
  </si>
  <si>
    <t>Talla</t>
  </si>
  <si>
    <t>mediana</t>
  </si>
  <si>
    <t>grande</t>
  </si>
  <si>
    <t>Total</t>
  </si>
  <si>
    <t xml:space="preserve">Papel </t>
  </si>
  <si>
    <t>Liston</t>
  </si>
  <si>
    <t>Marco</t>
  </si>
  <si>
    <t>Tinta</t>
  </si>
  <si>
    <t>impresion digital</t>
  </si>
  <si>
    <t>Diseño de imprenta</t>
  </si>
  <si>
    <t>Sticker?</t>
  </si>
  <si>
    <t>Unidades</t>
  </si>
  <si>
    <t>/</t>
  </si>
  <si>
    <t>Precio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</si>
</sst>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2" fillId="2" borderId="0" xfId="1" applyFont="1" applyFill="1"/>
    <xf numFmtId="44" fontId="0" fillId="0" borderId="0" xfId="1" applyFont="1"/>
    <xf numFmtId="0" fontId="0" fillId="0" borderId="2" xfId="0" applyBorder="1" applyAlignment="1">
      <alignment horizontal="center"/>
    </xf>
    <xf numFmtId="44" fontId="2" fillId="2" borderId="0" xfId="1" applyFont="1" applyFill="1" applyAlignment="1">
      <alignment horizontal="left" vertical="center"/>
    </xf>
    <xf numFmtId="44" fontId="0" fillId="0" borderId="0" xfId="1" applyFont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A818-7E95-4B76-8542-65AAFDF26E27}">
  <dimension ref="A1:S15"/>
  <sheetViews>
    <sheetView tabSelected="1" zoomScale="115" zoomScaleNormal="115" workbookViewId="0">
      <selection activeCell="A8" sqref="A8"/>
    </sheetView>
  </sheetViews>
  <sheetFormatPr defaultRowHeight="14.4" x14ac:dyDescent="0.3"/>
  <cols>
    <col min="1" max="1" width="22.5546875" bestFit="1" customWidth="1"/>
    <col min="2" max="2" width="10.33203125" style="14" bestFit="1" customWidth="1"/>
    <col min="3" max="3" width="11.5546875" style="11" bestFit="1" customWidth="1"/>
    <col min="4" max="4" width="8.88671875" style="16"/>
    <col min="7" max="7" width="21.5546875" bestFit="1" customWidth="1"/>
    <col min="12" max="12" width="21.5546875" bestFit="1" customWidth="1"/>
    <col min="13" max="13" width="7.21875" bestFit="1" customWidth="1"/>
    <col min="17" max="17" width="16.5546875" bestFit="1" customWidth="1"/>
    <col min="18" max="18" width="10.33203125" bestFit="1" customWidth="1"/>
  </cols>
  <sheetData>
    <row r="1" spans="1:19" s="1" customFormat="1" x14ac:dyDescent="0.3">
      <c r="A1" s="1" t="s">
        <v>0</v>
      </c>
      <c r="B1" s="13" t="s">
        <v>5</v>
      </c>
      <c r="C1" s="10" t="s">
        <v>4</v>
      </c>
      <c r="D1" s="15" t="s">
        <v>28</v>
      </c>
      <c r="G1" s="2" t="s">
        <v>6</v>
      </c>
      <c r="H1" s="3"/>
      <c r="I1" s="3"/>
      <c r="J1" s="4"/>
      <c r="L1" s="2" t="s">
        <v>14</v>
      </c>
      <c r="M1" s="3"/>
      <c r="N1" s="3"/>
      <c r="O1" s="4"/>
      <c r="Q1" s="2" t="s">
        <v>3</v>
      </c>
      <c r="R1" s="3"/>
      <c r="S1" s="4"/>
    </row>
    <row r="2" spans="1:19" x14ac:dyDescent="0.3">
      <c r="G2" s="5" t="s">
        <v>8</v>
      </c>
      <c r="H2" t="s">
        <v>7</v>
      </c>
      <c r="I2" t="s">
        <v>17</v>
      </c>
      <c r="J2" s="6" t="s">
        <v>11</v>
      </c>
      <c r="L2" s="5" t="s">
        <v>8</v>
      </c>
      <c r="M2" t="s">
        <v>7</v>
      </c>
      <c r="N2" t="s">
        <v>17</v>
      </c>
      <c r="O2" s="6" t="s">
        <v>11</v>
      </c>
      <c r="Q2" s="5" t="s">
        <v>21</v>
      </c>
      <c r="R2" t="s">
        <v>5</v>
      </c>
      <c r="S2" s="6" t="s">
        <v>20</v>
      </c>
    </row>
    <row r="3" spans="1:19" x14ac:dyDescent="0.3">
      <c r="A3" t="s">
        <v>1</v>
      </c>
      <c r="B3" s="14">
        <v>300</v>
      </c>
      <c r="C3" s="11">
        <f>B3*O$15</f>
        <v>18000</v>
      </c>
      <c r="D3" s="16">
        <f>O15</f>
        <v>60</v>
      </c>
      <c r="G3" s="5" t="s">
        <v>9</v>
      </c>
      <c r="H3" t="s">
        <v>12</v>
      </c>
      <c r="I3" t="s">
        <v>18</v>
      </c>
      <c r="J3" s="6">
        <v>7</v>
      </c>
      <c r="L3" s="5" t="s">
        <v>15</v>
      </c>
      <c r="M3" t="s">
        <v>13</v>
      </c>
      <c r="N3" t="s">
        <v>18</v>
      </c>
      <c r="O3" s="6">
        <v>15</v>
      </c>
      <c r="Q3" s="5" t="s">
        <v>25</v>
      </c>
      <c r="R3">
        <v>20</v>
      </c>
      <c r="S3" s="6">
        <f>(SUM(J15,O15)/12)*R3</f>
        <v>200</v>
      </c>
    </row>
    <row r="4" spans="1:19" x14ac:dyDescent="0.3">
      <c r="A4" t="s">
        <v>2</v>
      </c>
      <c r="B4" s="14">
        <v>90</v>
      </c>
      <c r="C4" s="11">
        <f>B4*J$15</f>
        <v>5400</v>
      </c>
      <c r="D4" s="16">
        <f>J15</f>
        <v>60</v>
      </c>
      <c r="G4" s="5" t="s">
        <v>10</v>
      </c>
      <c r="H4" t="s">
        <v>12</v>
      </c>
      <c r="I4" t="s">
        <v>18</v>
      </c>
      <c r="J4" s="6">
        <v>7</v>
      </c>
      <c r="L4" s="5" t="s">
        <v>16</v>
      </c>
      <c r="M4" t="s">
        <v>13</v>
      </c>
      <c r="N4" t="s">
        <v>18</v>
      </c>
      <c r="O4" s="6">
        <v>15</v>
      </c>
      <c r="Q4" s="5" t="s">
        <v>26</v>
      </c>
      <c r="R4">
        <v>170</v>
      </c>
      <c r="S4" s="6">
        <v>170</v>
      </c>
    </row>
    <row r="5" spans="1:19" x14ac:dyDescent="0.3">
      <c r="A5" t="s">
        <v>3</v>
      </c>
      <c r="C5" s="11">
        <v>1000</v>
      </c>
      <c r="D5" s="16" t="s">
        <v>29</v>
      </c>
      <c r="G5" s="5" t="s">
        <v>9</v>
      </c>
      <c r="H5" t="s">
        <v>13</v>
      </c>
      <c r="I5" t="s">
        <v>18</v>
      </c>
      <c r="J5" s="6">
        <v>7</v>
      </c>
      <c r="L5" s="5" t="s">
        <v>15</v>
      </c>
      <c r="M5" t="s">
        <v>13</v>
      </c>
      <c r="N5" t="s">
        <v>19</v>
      </c>
      <c r="O5" s="6">
        <v>15</v>
      </c>
      <c r="Q5" s="5" t="s">
        <v>27</v>
      </c>
      <c r="S5" s="6"/>
    </row>
    <row r="6" spans="1:19" x14ac:dyDescent="0.3">
      <c r="G6" s="5" t="s">
        <v>10</v>
      </c>
      <c r="H6" t="s">
        <v>13</v>
      </c>
      <c r="I6" t="s">
        <v>18</v>
      </c>
      <c r="J6" s="6">
        <v>7</v>
      </c>
      <c r="L6" s="5" t="s">
        <v>16</v>
      </c>
      <c r="M6" t="s">
        <v>13</v>
      </c>
      <c r="N6" t="s">
        <v>19</v>
      </c>
      <c r="O6" s="6">
        <v>15</v>
      </c>
      <c r="Q6" s="5"/>
      <c r="S6" s="6"/>
    </row>
    <row r="7" spans="1:19" x14ac:dyDescent="0.3">
      <c r="A7" t="s">
        <v>30</v>
      </c>
      <c r="C7" s="11">
        <f>SUM(C3:C5)</f>
        <v>24400</v>
      </c>
      <c r="G7" s="5" t="s">
        <v>9</v>
      </c>
      <c r="H7" t="s">
        <v>12</v>
      </c>
      <c r="I7" t="s">
        <v>19</v>
      </c>
      <c r="J7" s="6">
        <v>8</v>
      </c>
      <c r="L7" s="5"/>
      <c r="O7" s="6"/>
      <c r="Q7" s="5" t="s">
        <v>22</v>
      </c>
      <c r="R7">
        <v>12</v>
      </c>
      <c r="S7" s="6">
        <v>120</v>
      </c>
    </row>
    <row r="8" spans="1:19" x14ac:dyDescent="0.3">
      <c r="G8" s="5" t="s">
        <v>10</v>
      </c>
      <c r="H8" t="s">
        <v>12</v>
      </c>
      <c r="I8" t="s">
        <v>19</v>
      </c>
      <c r="J8" s="6">
        <v>8</v>
      </c>
      <c r="L8" s="5"/>
      <c r="O8" s="6"/>
      <c r="Q8" s="5" t="s">
        <v>23</v>
      </c>
      <c r="R8">
        <v>150</v>
      </c>
      <c r="S8" s="6">
        <v>150</v>
      </c>
    </row>
    <row r="9" spans="1:19" x14ac:dyDescent="0.3">
      <c r="G9" s="5" t="s">
        <v>9</v>
      </c>
      <c r="H9" t="s">
        <v>13</v>
      </c>
      <c r="I9" t="s">
        <v>19</v>
      </c>
      <c r="J9" s="6">
        <v>8</v>
      </c>
      <c r="L9" s="5"/>
      <c r="O9" s="6"/>
      <c r="Q9" s="5" t="s">
        <v>24</v>
      </c>
      <c r="R9">
        <v>400</v>
      </c>
      <c r="S9" s="6">
        <v>400</v>
      </c>
    </row>
    <row r="10" spans="1:19" x14ac:dyDescent="0.3">
      <c r="G10" s="5" t="s">
        <v>10</v>
      </c>
      <c r="H10" t="s">
        <v>13</v>
      </c>
      <c r="I10" t="s">
        <v>19</v>
      </c>
      <c r="J10" s="6">
        <v>8</v>
      </c>
      <c r="L10" s="5"/>
      <c r="O10" s="6"/>
      <c r="Q10" s="5"/>
      <c r="S10" s="6"/>
    </row>
    <row r="11" spans="1:19" x14ac:dyDescent="0.3">
      <c r="G11" s="5"/>
      <c r="J11" s="6"/>
      <c r="L11" s="5"/>
      <c r="O11" s="6"/>
      <c r="Q11" s="5"/>
      <c r="S11" s="6"/>
    </row>
    <row r="12" spans="1:19" x14ac:dyDescent="0.3">
      <c r="G12" s="5"/>
      <c r="J12" s="6"/>
      <c r="L12" s="5"/>
      <c r="O12" s="6"/>
      <c r="Q12" s="5"/>
      <c r="S12" s="6"/>
    </row>
    <row r="13" spans="1:19" x14ac:dyDescent="0.3">
      <c r="G13" s="5"/>
      <c r="J13" s="6"/>
      <c r="L13" s="5"/>
      <c r="O13" s="6"/>
      <c r="Q13" s="5"/>
      <c r="S13" s="6"/>
    </row>
    <row r="14" spans="1:19" x14ac:dyDescent="0.3">
      <c r="G14" s="7"/>
      <c r="H14" s="8"/>
      <c r="I14" s="8"/>
      <c r="J14" s="9"/>
      <c r="L14" s="7"/>
      <c r="M14" s="8"/>
      <c r="N14" s="8"/>
      <c r="O14" s="9"/>
      <c r="Q14" s="7"/>
      <c r="R14" s="8"/>
      <c r="S14" s="9"/>
    </row>
    <row r="15" spans="1:19" x14ac:dyDescent="0.3">
      <c r="G15" s="12" t="s">
        <v>20</v>
      </c>
      <c r="H15" s="12"/>
      <c r="I15" s="12"/>
      <c r="J15">
        <f>SUM(J3:J10)</f>
        <v>60</v>
      </c>
      <c r="L15" s="12" t="s">
        <v>20</v>
      </c>
      <c r="M15" s="12"/>
      <c r="N15" s="12"/>
      <c r="O15">
        <f>SUM(O3:O10)</f>
        <v>60</v>
      </c>
      <c r="S15">
        <f>SUM(S3:S10)</f>
        <v>1040</v>
      </c>
    </row>
  </sheetData>
  <mergeCells count="2">
    <mergeCell ref="G15:I15"/>
    <mergeCell ref="L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González</dc:creator>
  <cp:lastModifiedBy>Sergio González</cp:lastModifiedBy>
  <dcterms:created xsi:type="dcterms:W3CDTF">2026-01-08T21:10:49Z</dcterms:created>
  <dcterms:modified xsi:type="dcterms:W3CDTF">2026-01-12T22:19:30Z</dcterms:modified>
</cp:coreProperties>
</file>